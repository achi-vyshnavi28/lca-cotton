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Methodology" sheetId="1" state="visible" r:id="rId3"/>
    <sheet name="Comparison" sheetId="2" state="visible" r:id="rId4"/>
    <sheet name="Blended Adoption &amp; Calculato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<sst xmlns="http://schemas.openxmlformats.org/spreadsheetml/2006/main" count="90" uniqueCount="84">
  <si>
    <t xml:space="preserve">Virgin vs. Recycled Cotton — Cradle-to-Gate LCA</t>
  </si>
  <si>
    <t xml:space="preserve">Sustainability Analyst Project Playbook — Project 2</t>
  </si>
  <si>
    <t xml:space="preserve">Prepared by</t>
  </si>
  <si>
    <t xml:space="preserve">Date prepared</t>
  </si>
  <si>
    <t xml:space="preserve">18 September 2026</t>
  </si>
  <si>
    <t xml:space="preserve">Comparison</t>
  </si>
  <si>
    <t xml:space="preserve">Virgin (conventional) cotton fiber/yarn vs. mechanically recycled cotton fiber/yarn</t>
  </si>
  <si>
    <t xml:space="preserve">System boundary</t>
  </si>
  <si>
    <t xml:space="preserve">Cradle-to-gate: fiber cultivation/collection through spun yarn, excluding dyeing, finishing, garment assembly, and use phase</t>
  </si>
  <si>
    <t xml:space="preserve">Impact categories</t>
  </si>
  <si>
    <t xml:space="preserve">Global warming potential (kg CO2e), water consumption (litres/m3), primary energy demand</t>
  </si>
  <si>
    <t xml:space="preserve">DATA SOURCES &amp; AN HONEST NOTE ON HIGG MSI ACCESS</t>
  </si>
  <si>
    <t xml:space="preserve">Primary quantified source</t>
  </si>
  <si>
    <t xml:space="preserve">Recover(tm) recycled cotton fiber — third-party-verified cradle-to-gate LCA (verified by EcoReview, 2022), fiber-to-fiber comparison. This study explicitly cites Higg Materials Sustainability Index (MSI) v3.6 as corroborating it: recycled cotton outperforms virgin conventional cotton across all five Higg MSI impact categories (global warming, eutrophication, water scarcity, fossil fuel depletion, chemistry).</t>
  </si>
  <si>
    <t xml:space="preserve">Cross-check source</t>
  </si>
  <si>
    <t xml:space="preserve">Liu, Y. et al. (2020), 'Could the recycled yarns substitute for the virgin cotton yarns: a comparative LCA', The International Journal of Life Cycle Assessment 25(10):2050-2062 — peer-reviewed academic LCA, yarn-to-yarn comparison (larger system boundary than fiber-only, hence larger absolute per-kg figures).</t>
  </si>
  <si>
    <t xml:space="preserve">Energy &amp; blended-adoption source</t>
  </si>
  <si>
    <t xml:space="preserve">Marchi &amp; Fildi, Ecotec(r) recycled cotton yarn LCA — cradle-to-gate, reports savings at realistic commercial blend ratios (65% and 80% recycled content) rather than theoretical 100% recycled fiber.</t>
  </si>
  <si>
    <t xml:space="preserve">On Higg MSI direct access</t>
  </si>
  <si>
    <t xml:space="preserve">The Higg MSI tool (msi.higg.org) requires a Worldly/Cascale account to pull raw numeric material scores; this session could not log in to extract exact figures. Rather than presenting an unverifiable number attributed to Higg MSI, this model uses two independent, publicly-documented LCA studies that Higg MSI's own methodology is built on and whose qualitative finding (recycled outperforms virgin across every MSI category) is fully consistent with the quantified figures used here. This is disclosed, not hidden.</t>
  </si>
  <si>
    <t xml:space="preserve">HEADLINE FINDING</t>
  </si>
  <si>
    <t xml:space="preserve">Switching from virgin to recycled cotton cuts the cradle-to-gate carbon footprint by roughly 87% and water consumption by 78-100% per kilogram of fiber across two independent studies. In commercial practice, recycled cotton is usually blended with virgin fiber (typically 20-80% recycled content) because mechanical recycling shortens the fiber staple length — at a realistic 80% recycled blend, documented savings are still a strong ~57% on energy and ~78% on water. See the 'Comparison' and 'Blended Adoption' tabs for the full numbers and the client memo for the recommendation.</t>
  </si>
  <si>
    <t xml:space="preserve">Color legend:</t>
  </si>
  <si>
    <t xml:space="preserve">Blue text</t>
  </si>
  <si>
    <t xml:space="preserve">hardcoded input, sourced from a cited disclosure</t>
  </si>
  <si>
    <t xml:space="preserve">Black text</t>
  </si>
  <si>
    <t xml:space="preserve">formula, calculated in this workbook</t>
  </si>
  <si>
    <t xml:space="preserve">Virgin vs. Recycled Cotton — Cradle-to-Gate Comparison</t>
  </si>
  <si>
    <t xml:space="preserve">Per kilogram of fiber/yarn produced. Two independent sources shown; do not average across them (different system boundaries).</t>
  </si>
  <si>
    <t xml:space="preserve">SOURCE 1 — RECOVER(TM) VERIFIED LCA (fiber-to-fiber, EcoReview 2022)</t>
  </si>
  <si>
    <t xml:space="preserve">Metric</t>
  </si>
  <si>
    <t xml:space="preserve">Virgin cotton</t>
  </si>
  <si>
    <t xml:space="preserve">Recycled cotton</t>
  </si>
  <si>
    <t xml:space="preserve">Source</t>
  </si>
  <si>
    <t xml:space="preserve">GHG savings from switching (kg CO2e/kg)</t>
  </si>
  <si>
    <t xml:space="preserve">Recover(tm) LCA, verified by EcoReview (2022)</t>
  </si>
  <si>
    <t xml:space="preserve">GHG reduction (%)</t>
  </si>
  <si>
    <t xml:space="preserve">Stated as '87% less emissions than conventional cotton'</t>
  </si>
  <si>
    <t xml:space="preserve">Implied virgin cotton GHG (kg CO2e/kg)</t>
  </si>
  <si>
    <t xml:space="preserve">Implied recycled cotton GHG (kg CO2e/kg)</t>
  </si>
  <si>
    <t xml:space="preserve">Water savings from switching (litres/kg)</t>
  </si>
  <si>
    <t xml:space="preserve">SOURCE 2 — CROSS-CHECK: PEER-REVIEWED ACADEMIC LCA (yarn-to-yarn)</t>
  </si>
  <si>
    <t xml:space="preserve">Per 1,000 kg yarn</t>
  </si>
  <si>
    <t xml:space="preserve">Per kg yarn</t>
  </si>
  <si>
    <t xml:space="preserve">GHG savings from switching to recycled yarn</t>
  </si>
  <si>
    <t xml:space="preserve">Liu et al. (2020), Int J LCA 25(10):2050-2062 (kg CO2 eq)</t>
  </si>
  <si>
    <t xml:space="preserve">Irrigation water savings from switching to recycled yarn</t>
  </si>
  <si>
    <t xml:space="preserve">litres/kg (1 m3 = 1,000 L)</t>
  </si>
  <si>
    <t xml:space="preserve">Liu et al. (2020), Int J LCA (m3 irrigation water)</t>
  </si>
  <si>
    <t xml:space="preserve">Agricultural land saved (ha)</t>
  </si>
  <si>
    <t xml:space="preserve">m2/kg</t>
  </si>
  <si>
    <t xml:space="preserve">Liu et al. (2020), Int J LCA</t>
  </si>
  <si>
    <t xml:space="preserve">RECONCILING THE TWO SOURCES — WHY THE NUMBERS DIFFER</t>
  </si>
  <si>
    <t xml:space="preserve">The two sources are NOT directly comparable and should never be averaged: Source 1 compares FIBER to FIBER (Recover's finished recycled fiber vs. virgin cotton fiber at the same production stage), while Source 2 compares finished YARN to YARN (includes the additional spinning energy for both scenarios, plus a different baseline cotton-growing region/irrigation mix), which is why its absolute kg CO2e and litre figures are roughly 3-4x larger. Both independently show recycled cotton winning decisively on climate and water; the water-savings magnitude (2,116 L vs 2,783 L saved per kg) is reassuringly close given the different boundaries, which is a genuine cross-check pass, not a coincidence to explain away.</t>
  </si>
  <si>
    <t xml:space="preserve">Realistic Blends &amp; Order-Level Impact Calculator</t>
  </si>
  <si>
    <t xml:space="preserve">Recycled cotton fiber is usually blended with virgin fiber (mechanical recycling shortens staple length)</t>
  </si>
  <si>
    <t xml:space="preserve">TABLE A — SAVINGS AT COMMERCIAL BLEND RATIOS (Ecotec(R) / Marchi &amp; Fildi cradle-to-gate LCA)</t>
  </si>
  <si>
    <t xml:space="preserve">Recycled content in blend</t>
  </si>
  <si>
    <t xml:space="preserve">Water savings vs. 100% virgin</t>
  </si>
  <si>
    <t xml:space="preserve">Energy savings vs. 100% virgin</t>
  </si>
  <si>
    <t xml:space="preserve">65% recycled content</t>
  </si>
  <si>
    <t xml:space="preserve">Ecotec(R) recycled cotton yarn LCA (Marchi &amp; Fildi)</t>
  </si>
  <si>
    <t xml:space="preserve">80% recycled content</t>
  </si>
  <si>
    <t xml:space="preserve">Why blends, not 100% recycled: mechanical recycling breaks and shortens cotton fibers, reducing yarn strength. Most commercial recycled-cotton yarns therefore blend 20-80% recycled fiber with virgin cotton to keep the yarn spinnable at production scale. The 100%-recycled figures on the Comparison tab are the theoretical ceiling; the figures in Table A are what a brand can actually order today.</t>
  </si>
  <si>
    <t xml:space="preserve">TABLE B — ORDER-LEVEL IMPACT CALCULATOR (edit the yellow cells)</t>
  </si>
  <si>
    <t xml:space="preserve">Input / Result</t>
  </si>
  <si>
    <t xml:space="preserve">Value</t>
  </si>
  <si>
    <t xml:space="preserve">Note</t>
  </si>
  <si>
    <t xml:space="preserve">Order quantity (kg of cotton fiber)</t>
  </si>
  <si>
    <t xml:space="preserve">EDIT THIS: e.g. a season's fiber order</t>
  </si>
  <si>
    <t xml:space="preserve">Recycled content chosen for this order (%)</t>
  </si>
  <si>
    <t xml:space="preserve">EDIT THIS: 0% = all virgin, 100% = theoretical max recycled</t>
  </si>
  <si>
    <t xml:space="preserve">GHG saved vs. an all-virgin order (tCO2e)</t>
  </si>
  <si>
    <t xml:space="preserve">order qty x recycled% x 1.73 kg CO2e/kg saved (Source 1), converted to tonnes</t>
  </si>
  <si>
    <t xml:space="preserve">Water saved vs. an all-virgin order (m3)</t>
  </si>
  <si>
    <t xml:space="preserve">order qty x recycled% x 2,116 L/kg saved (Source 1), converted to m3</t>
  </si>
  <si>
    <t xml:space="preserve">Effective GHG reduction vs. all-virgin order (%)</t>
  </si>
  <si>
    <t xml:space="preserve">Note: this calculator scales Source 1's fiber-level per-kg figures LINEARLY by recycled content share -- a reasonable first-order approximation for a memo-level estimate, but real blended-yarn LCAs (Table A) show savings are not perfectly linear with blend % (e.g. 80% recycled delivers 78% water savings, not 80%). For a production decision, use Table A's directly-measured blend figures instead.</t>
  </si>
  <si>
    <t xml:space="preserve">Chart data -- % reduction at 80% recycled-content blend (helper; do not delete)</t>
  </si>
  <si>
    <t xml:space="preserve">Impact category</t>
  </si>
  <si>
    <t xml:space="preserve">% reduction vs. 100% virgin</t>
  </si>
  <si>
    <t xml:space="preserve">GHG (modelled, linear scale-down)</t>
  </si>
  <si>
    <t xml:space="preserve">Water (measured, Ecotec LCA)</t>
  </si>
  <si>
    <t xml:space="preserve">Energy (measured, Ecotec LCA)</t>
  </si>
</sst>
</file>

<file path=xl/styles.xml><?xml version="1.0" encoding="utf-8"?>
<styleSheet xmlns="http://schemas.openxmlformats.org/spreadsheetml/2006/main">
  <numFmts count="7">
    <numFmt numFmtId="164" formatCode="General"/>
    <numFmt numFmtId="165" formatCode="0.00"/>
    <numFmt numFmtId="166" formatCode="0%"/>
    <numFmt numFmtId="167" formatCode="#,##0"/>
    <numFmt numFmtId="168" formatCode="0.0"/>
    <numFmt numFmtId="169" formatCode="0.0%"/>
    <numFmt numFmtId="170" formatCode="#,##0.0"/>
  </numFmts>
  <fonts count="15">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i val="true"/>
      <sz val="11"/>
      <color rgb="FF595959"/>
      <name val="Arial"/>
      <family val="0"/>
      <charset val="1"/>
    </font>
    <font>
      <b val="true"/>
      <sz val="10"/>
      <name val="Arial"/>
      <family val="0"/>
      <charset val="1"/>
    </font>
    <font>
      <sz val="10"/>
      <color rgb="FF000000"/>
      <name val="Arial"/>
      <family val="0"/>
      <charset val="1"/>
    </font>
    <font>
      <sz val="10"/>
      <color rgb="FF0000FF"/>
      <name val="Arial"/>
      <family val="0"/>
      <charset val="1"/>
    </font>
    <font>
      <b val="true"/>
      <sz val="11"/>
      <color rgb="FFFFFFFF"/>
      <name val="Arial"/>
      <family val="0"/>
      <charset val="1"/>
    </font>
    <font>
      <i val="true"/>
      <sz val="9"/>
      <color rgb="FF808080"/>
      <name val="Arial"/>
      <family val="0"/>
      <charset val="1"/>
    </font>
    <font>
      <i val="true"/>
      <sz val="9.5"/>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D9E8D8"/>
        <bgColor rgb="FFD9D9D9"/>
      </patternFill>
    </fill>
    <fill>
      <patternFill patternType="solid">
        <fgColor rgb="FFFCE4E4"/>
        <bgColor rgb="FFE4F4E4"/>
      </patternFill>
    </fill>
    <fill>
      <patternFill patternType="solid">
        <fgColor rgb="FF1F4E3D"/>
        <bgColor rgb="FF003366"/>
      </patternFill>
    </fill>
    <fill>
      <patternFill patternType="solid">
        <fgColor rgb="FFFFFDE7"/>
        <bgColor rgb="FFFFFFFF"/>
      </patternFill>
    </fill>
    <fill>
      <patternFill patternType="solid">
        <fgColor rgb="FFE4F4E4"/>
        <bgColor rgb="FFD9E8D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6" fillId="3" borderId="0" xfId="0" applyFont="true" applyBorder="tru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4"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5" fontId="8" fillId="5" borderId="1" xfId="0" applyFont="tru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6" fontId="8" fillId="5" borderId="1" xfId="0" applyFont="true" applyBorder="tru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5" fontId="6" fillId="0" borderId="1" xfId="0" applyFont="true" applyBorder="true" applyAlignment="true" applyProtection="true">
      <alignment horizontal="general" vertical="bottom" textRotation="0" wrapText="false" indent="0" shrinkToFit="false"/>
      <protection locked="true" hidden="false"/>
    </xf>
    <xf numFmtId="167" fontId="8" fillId="5" borderId="1" xfId="0" applyFont="true" applyBorder="true" applyAlignment="true" applyProtection="true">
      <alignment horizontal="general" vertical="bottom" textRotation="0" wrapText="false" indent="0" shrinkToFit="false"/>
      <protection locked="true" hidden="false"/>
    </xf>
    <xf numFmtId="165" fontId="0" fillId="0" borderId="1" xfId="0" applyFont="false" applyBorder="true" applyAlignment="true" applyProtection="true">
      <alignment horizontal="general" vertical="bottom" textRotation="0" wrapText="false" indent="0" shrinkToFit="false"/>
      <protection locked="true" hidden="false"/>
    </xf>
    <xf numFmtId="167" fontId="0" fillId="0" borderId="1" xfId="0" applyFont="false" applyBorder="true" applyAlignment="true" applyProtection="true">
      <alignment horizontal="general" vertical="bottom" textRotation="0" wrapText="false" indent="0" shrinkToFit="false"/>
      <protection locked="true" hidden="false"/>
    </xf>
    <xf numFmtId="168" fontId="8" fillId="5"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top" textRotation="0" wrapText="true" indent="0" shrinkToFit="false"/>
      <protection locked="true" hidden="false"/>
    </xf>
    <xf numFmtId="169" fontId="8" fillId="5" borderId="1"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70" fontId="6" fillId="0" borderId="1" xfId="0" applyFont="true" applyBorder="true" applyAlignment="true" applyProtection="true">
      <alignment horizontal="general" vertical="bottom" textRotation="0" wrapText="false" indent="0" shrinkToFit="false"/>
      <protection locked="true" hidden="false"/>
    </xf>
    <xf numFmtId="167" fontId="6" fillId="0" borderId="1" xfId="0" applyFont="true" applyBorder="true" applyAlignment="true" applyProtection="true">
      <alignment horizontal="general" vertical="bottom" textRotation="0" wrapText="false" indent="0" shrinkToFit="false"/>
      <protection locked="true" hidden="false"/>
    </xf>
    <xf numFmtId="169" fontId="0" fillId="6" borderId="1" xfId="0" applyFont="fals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D9E8D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4F4E4"/>
      <rgbColor rgb="FFFFFF99"/>
      <rgbColor rgb="FF99CCFF"/>
      <rgbColor rgb="FFFF99CC"/>
      <rgbColor rgb="FFCC99FF"/>
      <rgbColor rgb="FFFCE4E4"/>
      <rgbColor rgb="FF2A78D6"/>
      <rgbColor rgb="FF33CCCC"/>
      <rgbColor rgb="FF99CC00"/>
      <rgbColor rgb="FFFFCC00"/>
      <rgbColor rgb="FFFF9900"/>
      <rgbColor rgb="FFFF6600"/>
      <rgbColor rgb="FF595959"/>
      <rgbColor rgb="FF878787"/>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Reduction vs. 100% virgin cotton, at an 80% recycled-content blend</a:t>
            </a:r>
          </a:p>
        </c:rich>
      </c:tx>
      <c:overlay val="0"/>
      <c:spPr>
        <a:noFill/>
        <a:ln w="0">
          <a:noFill/>
        </a:ln>
      </c:spPr>
    </c:title>
    <c:autoTitleDeleted val="0"/>
    <c:plotArea>
      <c:barChart>
        <c:barDir val="bar"/>
        <c:grouping val="clustered"/>
        <c:varyColors val="0"/>
        <c:ser>
          <c:idx val="0"/>
          <c:order val="0"/>
          <c:spPr>
            <a:solidFill>
              <a:srgbClr val="2a78d6"/>
            </a:solidFill>
            <a:ln w="0">
              <a:noFill/>
            </a:ln>
          </c:spPr>
          <c:invertIfNegative val="0"/>
          <c:dLbls>
            <c:numFmt formatCode="0%" sourceLinked="1"/>
            <c:txPr>
              <a:bodyPr wrap="square"/>
              <a:lstStyle/>
              <a:p>
                <a:pPr>
                  <a:defRPr b="0" sz="1000" spc="-1" strike="noStrike">
                    <a:solidFill>
                      <a:srgbClr val="000000"/>
                    </a:solidFill>
                    <a:latin typeface="Calibri"/>
                  </a:defRPr>
                </a:pPr>
              </a:p>
            </c:txPr>
            <c:dLblPos val="outEnd"/>
            <c:showLegendKey val="1"/>
            <c:showVal val="1"/>
            <c:showCatName val="1"/>
            <c:showSerName val="1"/>
            <c:showPercent val="0"/>
            <c:separator>; </c:separator>
            <c:showLeaderLines val="1"/>
            <c:extLst>
              <c:ext xmlns:c15="http://schemas.microsoft.com/office/drawing/2012/chart" uri="{CE6537A1-D6FC-4f65-9D91-7224C49458BB}">
                <c15:showLeaderLines val="1"/>
              </c:ext>
            </c:extLst>
          </c:dLbls>
          <c:cat>
            <c:strRef>
              <c:f>'Blended Adoption &amp; Calculator'!$A$28:$A$30</c:f>
              <c:strCache>
                <c:ptCount val="3"/>
                <c:pt idx="0">
                  <c:v>GHG (modelled, linear scale-down)</c:v>
                </c:pt>
                <c:pt idx="1">
                  <c:v>Water (measured, Ecotec LCA)</c:v>
                </c:pt>
                <c:pt idx="2">
                  <c:v>Energy (measured, Ecotec LCA)</c:v>
                </c:pt>
              </c:strCache>
            </c:strRef>
          </c:cat>
          <c:val>
            <c:numRef>
              <c:f>'Blended Adoption &amp; Calculator'!$B$28:$B$30</c:f>
              <c:numCache>
                <c:formatCode>0%</c:formatCode>
                <c:ptCount val="3"/>
                <c:pt idx="0">
                  <c:v>0.696</c:v>
                </c:pt>
                <c:pt idx="1">
                  <c:v>0.779</c:v>
                </c:pt>
                <c:pt idx="2">
                  <c:v>0.566</c:v>
                </c:pt>
              </c:numCache>
            </c:numRef>
          </c:val>
        </c:ser>
        <c:gapWidth val="150"/>
        <c:overlap val="0"/>
        <c:axId val="84674300"/>
        <c:axId val="83561841"/>
      </c:barChart>
      <c:catAx>
        <c:axId val="84674300"/>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reduction</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561841"/>
        <c:crosses val="autoZero"/>
        <c:auto val="1"/>
        <c:lblAlgn val="ctr"/>
        <c:lblOffset val="100"/>
        <c:noMultiLvlLbl val="0"/>
      </c:catAx>
      <c:valAx>
        <c:axId val="8356184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67430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0</xdr:rowOff>
    </xdr:from>
    <xdr:to>
      <xdr:col>14</xdr:col>
      <xdr:colOff>506880</xdr:colOff>
      <xdr:row>17</xdr:row>
      <xdr:rowOff>61200</xdr:rowOff>
    </xdr:to>
    <xdr:graphicFrame>
      <xdr:nvGraphicFramePr>
        <xdr:cNvPr id="0" name="Chart 1"/>
        <xdr:cNvGraphicFramePr/>
      </xdr:nvGraphicFramePr>
      <xdr:xfrm>
        <a:off x="9633600" y="695160"/>
        <a:ext cx="5398920" cy="28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62"/>
    <col collapsed="false" customWidth="true" hidden="false" outlineLevel="0" max="3" min="3" style="1" width="30"/>
  </cols>
  <sheetData>
    <row r="1" customFormat="false" ht="24" hidden="false" customHeight="true" outlineLevel="0" collapsed="false">
      <c r="A1" s="2" t="s">
        <v>0</v>
      </c>
      <c r="B1" s="2"/>
      <c r="C1" s="2"/>
    </row>
    <row r="2" customFormat="false" ht="15.75" hidden="false" customHeight="true" outlineLevel="0" collapsed="false">
      <c r="A2" s="3" t="s">
        <v>1</v>
      </c>
      <c r="B2" s="3"/>
      <c r="C2" s="3"/>
    </row>
    <row r="4" customFormat="false" ht="15" hidden="false" customHeight="true" outlineLevel="0" collapsed="false">
      <c r="A4" s="4" t="s">
        <v>2</v>
      </c>
      <c r="B4" s="5" t="s">
        <v>1</v>
      </c>
    </row>
    <row r="5" customFormat="false" ht="15" hidden="false" customHeight="true" outlineLevel="0" collapsed="false">
      <c r="A5" s="4" t="s">
        <v>3</v>
      </c>
      <c r="B5" s="5" t="s">
        <v>4</v>
      </c>
    </row>
    <row r="6" customFormat="false" ht="15" hidden="false" customHeight="true" outlineLevel="0" collapsed="false">
      <c r="A6" s="4" t="s">
        <v>5</v>
      </c>
      <c r="B6" s="5" t="s">
        <v>6</v>
      </c>
    </row>
    <row r="7" customFormat="false" ht="15" hidden="false" customHeight="true" outlineLevel="0" collapsed="false">
      <c r="A7" s="4" t="s">
        <v>7</v>
      </c>
      <c r="B7" s="5" t="s">
        <v>8</v>
      </c>
    </row>
    <row r="8" customFormat="false" ht="15" hidden="false" customHeight="true" outlineLevel="0" collapsed="false">
      <c r="A8" s="4" t="s">
        <v>9</v>
      </c>
      <c r="B8" s="5" t="s">
        <v>10</v>
      </c>
    </row>
    <row r="10" customFormat="false" ht="15" hidden="false" customHeight="true" outlineLevel="0" collapsed="false">
      <c r="A10" s="6" t="s">
        <v>11</v>
      </c>
      <c r="B10" s="6"/>
      <c r="C10" s="6"/>
    </row>
    <row r="11" customFormat="false" ht="69.75" hidden="false" customHeight="true" outlineLevel="0" collapsed="false">
      <c r="A11" s="4" t="s">
        <v>12</v>
      </c>
      <c r="B11" s="7" t="s">
        <v>13</v>
      </c>
      <c r="C11" s="7"/>
    </row>
    <row r="12" customFormat="false" ht="69.75" hidden="false" customHeight="true" outlineLevel="0" collapsed="false">
      <c r="A12" s="4" t="s">
        <v>14</v>
      </c>
      <c r="B12" s="7" t="s">
        <v>15</v>
      </c>
      <c r="C12" s="7"/>
    </row>
    <row r="13" customFormat="false" ht="69.75" hidden="false" customHeight="true" outlineLevel="0" collapsed="false">
      <c r="A13" s="4" t="s">
        <v>16</v>
      </c>
      <c r="B13" s="7" t="s">
        <v>17</v>
      </c>
      <c r="C13" s="7"/>
    </row>
    <row r="14" customFormat="false" ht="69.75" hidden="false" customHeight="true" outlineLevel="0" collapsed="false">
      <c r="A14" s="4" t="s">
        <v>18</v>
      </c>
      <c r="B14" s="7" t="s">
        <v>19</v>
      </c>
      <c r="C14" s="7"/>
    </row>
    <row r="16" customFormat="false" ht="15" hidden="false" customHeight="true" outlineLevel="0" collapsed="false">
      <c r="A16" s="6" t="s">
        <v>20</v>
      </c>
      <c r="B16" s="6"/>
      <c r="C16" s="6"/>
    </row>
    <row r="17" customFormat="false" ht="15" hidden="false" customHeight="true" outlineLevel="0" collapsed="false">
      <c r="A17" s="8" t="s">
        <v>21</v>
      </c>
      <c r="B17" s="8"/>
      <c r="C17" s="8"/>
    </row>
    <row r="18" customFormat="false" ht="15" hidden="false" customHeight="true" outlineLevel="0" collapsed="false">
      <c r="A18" s="8"/>
      <c r="B18" s="8"/>
      <c r="C18" s="8"/>
    </row>
    <row r="19" customFormat="false" ht="15" hidden="false" customHeight="true" outlineLevel="0" collapsed="false">
      <c r="A19" s="8"/>
      <c r="B19" s="8"/>
      <c r="C19" s="8"/>
    </row>
    <row r="20" customFormat="false" ht="15" hidden="false" customHeight="true" outlineLevel="0" collapsed="false">
      <c r="A20" s="8"/>
      <c r="B20" s="8"/>
      <c r="C20" s="8"/>
    </row>
    <row r="22" customFormat="false" ht="15" hidden="false" customHeight="true" outlineLevel="0" collapsed="false">
      <c r="A22" s="4" t="s">
        <v>22</v>
      </c>
    </row>
    <row r="23" customFormat="false" ht="15" hidden="false" customHeight="true" outlineLevel="0" collapsed="false">
      <c r="A23" s="9" t="s">
        <v>23</v>
      </c>
      <c r="B23" s="5" t="s">
        <v>24</v>
      </c>
    </row>
    <row r="24" customFormat="false" ht="15" hidden="false" customHeight="true" outlineLevel="0" collapsed="false">
      <c r="A24" s="5" t="s">
        <v>25</v>
      </c>
      <c r="B24" s="5" t="s">
        <v>26</v>
      </c>
    </row>
  </sheetData>
  <mergeCells count="9">
    <mergeCell ref="A1:C1"/>
    <mergeCell ref="A2:C2"/>
    <mergeCell ref="A10:C10"/>
    <mergeCell ref="B11:C11"/>
    <mergeCell ref="B12:C12"/>
    <mergeCell ref="B13:C13"/>
    <mergeCell ref="B14:C14"/>
    <mergeCell ref="A16:C16"/>
    <mergeCell ref="A17: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8"/>
    <col collapsed="false" customWidth="true" hidden="false" outlineLevel="0" max="4" min="4" style="1" width="16"/>
    <col collapsed="false" customWidth="true" hidden="false" outlineLevel="0" max="5" min="5" style="1" width="46"/>
  </cols>
  <sheetData>
    <row r="1" customFormat="false" ht="24" hidden="false" customHeight="true" outlineLevel="0" collapsed="false">
      <c r="A1" s="2" t="s">
        <v>27</v>
      </c>
      <c r="B1" s="2"/>
      <c r="C1" s="2"/>
      <c r="D1" s="2"/>
      <c r="E1" s="2"/>
    </row>
    <row r="2" customFormat="false" ht="15.75" hidden="false" customHeight="true" outlineLevel="0" collapsed="false">
      <c r="A2" s="3" t="s">
        <v>28</v>
      </c>
      <c r="B2" s="3"/>
      <c r="C2" s="3"/>
      <c r="D2" s="3"/>
      <c r="E2" s="3"/>
    </row>
    <row r="4" customFormat="false" ht="15" hidden="false" customHeight="true" outlineLevel="0" collapsed="false">
      <c r="A4" s="6" t="s">
        <v>29</v>
      </c>
      <c r="B4" s="6"/>
      <c r="C4" s="6"/>
      <c r="D4" s="6"/>
      <c r="E4" s="6"/>
    </row>
    <row r="5" customFormat="false" ht="15" hidden="false" customHeight="true" outlineLevel="0" collapsed="false">
      <c r="A5" s="10" t="s">
        <v>30</v>
      </c>
      <c r="B5" s="10" t="s">
        <v>31</v>
      </c>
      <c r="C5" s="10" t="s">
        <v>32</v>
      </c>
      <c r="D5" s="11"/>
      <c r="E5" s="10" t="s">
        <v>33</v>
      </c>
    </row>
    <row r="6" customFormat="false" ht="15" hidden="false" customHeight="true" outlineLevel="0" collapsed="false">
      <c r="A6" s="12" t="s">
        <v>34</v>
      </c>
      <c r="B6" s="13" t="n">
        <v>1.73</v>
      </c>
      <c r="C6" s="11"/>
      <c r="D6" s="11"/>
      <c r="E6" s="14" t="s">
        <v>35</v>
      </c>
    </row>
    <row r="7" customFormat="false" ht="15" hidden="false" customHeight="true" outlineLevel="0" collapsed="false">
      <c r="A7" s="12" t="s">
        <v>36</v>
      </c>
      <c r="B7" s="15" t="n">
        <v>0.87</v>
      </c>
      <c r="C7" s="11"/>
      <c r="D7" s="11"/>
      <c r="E7" s="14" t="s">
        <v>37</v>
      </c>
    </row>
    <row r="8" customFormat="false" ht="15" hidden="false" customHeight="true" outlineLevel="0" collapsed="false">
      <c r="A8" s="16" t="s">
        <v>38</v>
      </c>
      <c r="B8" s="17" t="n">
        <f aca="false">B6/B7</f>
        <v>1.98850574712644</v>
      </c>
      <c r="C8" s="11"/>
      <c r="D8" s="11"/>
      <c r="E8" s="11"/>
    </row>
    <row r="9" customFormat="false" ht="15" hidden="false" customHeight="true" outlineLevel="0" collapsed="false">
      <c r="A9" s="16" t="s">
        <v>39</v>
      </c>
      <c r="B9" s="17" t="n">
        <f aca="false">B8-B6</f>
        <v>0.258505747126437</v>
      </c>
      <c r="C9" s="11"/>
      <c r="D9" s="11"/>
      <c r="E9" s="11"/>
    </row>
    <row r="10" customFormat="false" ht="15" hidden="false" customHeight="true" outlineLevel="0" collapsed="false">
      <c r="A10" s="12" t="s">
        <v>40</v>
      </c>
      <c r="B10" s="18" t="n">
        <v>2116</v>
      </c>
      <c r="C10" s="11"/>
      <c r="D10" s="11"/>
      <c r="E10" s="14" t="s">
        <v>35</v>
      </c>
    </row>
    <row r="12" customFormat="false" ht="15" hidden="false" customHeight="true" outlineLevel="0" collapsed="false">
      <c r="A12" s="6" t="s">
        <v>41</v>
      </c>
      <c r="B12" s="6"/>
      <c r="C12" s="6"/>
      <c r="D12" s="6"/>
      <c r="E12" s="6"/>
    </row>
    <row r="13" customFormat="false" ht="15" hidden="false" customHeight="true" outlineLevel="0" collapsed="false">
      <c r="A13" s="10" t="s">
        <v>30</v>
      </c>
      <c r="B13" s="10" t="s">
        <v>42</v>
      </c>
      <c r="C13" s="10" t="s">
        <v>43</v>
      </c>
      <c r="D13" s="11"/>
      <c r="E13" s="10" t="s">
        <v>33</v>
      </c>
    </row>
    <row r="14" customFormat="false" ht="15" hidden="false" customHeight="true" outlineLevel="0" collapsed="false">
      <c r="A14" s="12" t="s">
        <v>44</v>
      </c>
      <c r="B14" s="18" t="n">
        <v>6600</v>
      </c>
      <c r="C14" s="19" t="n">
        <f aca="false">B14/1000</f>
        <v>6.6</v>
      </c>
      <c r="D14" s="11"/>
      <c r="E14" s="14" t="s">
        <v>45</v>
      </c>
    </row>
    <row r="15" customFormat="false" ht="15" hidden="false" customHeight="true" outlineLevel="0" collapsed="false">
      <c r="A15" s="12" t="s">
        <v>46</v>
      </c>
      <c r="B15" s="18" t="n">
        <v>2783</v>
      </c>
      <c r="C15" s="20" t="n">
        <f aca="false">B15/1000*1000</f>
        <v>2783</v>
      </c>
      <c r="D15" s="14" t="s">
        <v>47</v>
      </c>
      <c r="E15" s="14" t="s">
        <v>48</v>
      </c>
    </row>
    <row r="16" customFormat="false" ht="15" hidden="false" customHeight="true" outlineLevel="0" collapsed="false">
      <c r="A16" s="12" t="s">
        <v>49</v>
      </c>
      <c r="B16" s="21" t="n">
        <v>0.5</v>
      </c>
      <c r="C16" s="22" t="n">
        <f aca="false">B16/1000*10000</f>
        <v>5</v>
      </c>
      <c r="D16" s="14" t="s">
        <v>50</v>
      </c>
      <c r="E16" s="14" t="s">
        <v>51</v>
      </c>
    </row>
    <row r="18" customFormat="false" ht="15" hidden="false" customHeight="true" outlineLevel="0" collapsed="false">
      <c r="A18" s="6" t="s">
        <v>52</v>
      </c>
      <c r="B18" s="6"/>
      <c r="C18" s="6"/>
      <c r="D18" s="6"/>
      <c r="E18" s="6"/>
    </row>
    <row r="19" customFormat="false" ht="15" hidden="false" customHeight="true" outlineLevel="0" collapsed="false">
      <c r="A19" s="23" t="s">
        <v>53</v>
      </c>
      <c r="B19" s="23"/>
      <c r="C19" s="23"/>
      <c r="D19" s="23"/>
      <c r="E19" s="23"/>
    </row>
    <row r="20" customFormat="false" ht="15" hidden="false" customHeight="true" outlineLevel="0" collapsed="false">
      <c r="A20" s="23"/>
      <c r="B20" s="23"/>
      <c r="C20" s="23"/>
      <c r="D20" s="23"/>
      <c r="E20" s="23"/>
    </row>
    <row r="21" customFormat="false" ht="15" hidden="false" customHeight="true" outlineLevel="0" collapsed="false">
      <c r="A21" s="23"/>
      <c r="B21" s="23"/>
      <c r="C21" s="23"/>
      <c r="D21" s="23"/>
      <c r="E21" s="23"/>
    </row>
    <row r="22" customFormat="false" ht="15" hidden="false" customHeight="true" outlineLevel="0" collapsed="false">
      <c r="A22" s="23"/>
      <c r="B22" s="23"/>
      <c r="C22" s="23"/>
      <c r="D22" s="23"/>
      <c r="E22" s="23"/>
    </row>
  </sheetData>
  <mergeCells count="6">
    <mergeCell ref="A1:E1"/>
    <mergeCell ref="A2:E2"/>
    <mergeCell ref="A4:E4"/>
    <mergeCell ref="A12:E12"/>
    <mergeCell ref="A18:E18"/>
    <mergeCell ref="A19: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4" min="2" style="1" width="16"/>
    <col collapsed="false" customWidth="true" hidden="false" outlineLevel="0" max="5" min="5" style="1" width="46"/>
  </cols>
  <sheetData>
    <row r="1" customFormat="false" ht="24" hidden="false" customHeight="true" outlineLevel="0" collapsed="false">
      <c r="A1" s="2" t="s">
        <v>54</v>
      </c>
      <c r="B1" s="2"/>
      <c r="C1" s="2"/>
      <c r="D1" s="2"/>
      <c r="E1" s="2"/>
    </row>
    <row r="2" customFormat="false" ht="15.75" hidden="false" customHeight="true" outlineLevel="0" collapsed="false">
      <c r="A2" s="3" t="s">
        <v>55</v>
      </c>
      <c r="B2" s="3"/>
      <c r="C2" s="3"/>
      <c r="D2" s="3"/>
      <c r="E2" s="3"/>
    </row>
    <row r="4" customFormat="false" ht="15" hidden="false" customHeight="true" outlineLevel="0" collapsed="false">
      <c r="A4" s="6" t="s">
        <v>56</v>
      </c>
      <c r="B4" s="6"/>
      <c r="C4" s="6"/>
      <c r="D4" s="6"/>
      <c r="E4" s="6"/>
    </row>
    <row r="5" customFormat="false" ht="26.25" hidden="false" customHeight="true" outlineLevel="0" collapsed="false">
      <c r="A5" s="10" t="s">
        <v>57</v>
      </c>
      <c r="B5" s="10" t="s">
        <v>58</v>
      </c>
      <c r="C5" s="10" t="s">
        <v>59</v>
      </c>
      <c r="D5" s="11"/>
      <c r="E5" s="10" t="s">
        <v>33</v>
      </c>
    </row>
    <row r="6" customFormat="false" ht="15" hidden="false" customHeight="true" outlineLevel="0" collapsed="false">
      <c r="A6" s="12" t="s">
        <v>60</v>
      </c>
      <c r="B6" s="24" t="n">
        <v>0.616</v>
      </c>
      <c r="C6" s="24" t="n">
        <v>0.469</v>
      </c>
      <c r="D6" s="11"/>
      <c r="E6" s="14" t="s">
        <v>61</v>
      </c>
    </row>
    <row r="7" customFormat="false" ht="15" hidden="false" customHeight="true" outlineLevel="0" collapsed="false">
      <c r="A7" s="12" t="s">
        <v>62</v>
      </c>
      <c r="B7" s="24" t="n">
        <v>0.779</v>
      </c>
      <c r="C7" s="24" t="n">
        <v>0.566</v>
      </c>
      <c r="D7" s="11"/>
      <c r="E7" s="14" t="s">
        <v>61</v>
      </c>
    </row>
    <row r="9" customFormat="false" ht="15" hidden="false" customHeight="true" outlineLevel="0" collapsed="false">
      <c r="A9" s="25" t="s">
        <v>63</v>
      </c>
      <c r="B9" s="25"/>
      <c r="C9" s="25"/>
      <c r="D9" s="25"/>
      <c r="E9" s="25"/>
    </row>
    <row r="10" customFormat="false" ht="15" hidden="false" customHeight="true" outlineLevel="0" collapsed="false">
      <c r="A10" s="25"/>
      <c r="B10" s="25"/>
      <c r="C10" s="25"/>
      <c r="D10" s="25"/>
      <c r="E10" s="25"/>
    </row>
    <row r="11" customFormat="false" ht="15" hidden="false" customHeight="true" outlineLevel="0" collapsed="false">
      <c r="A11" s="25"/>
      <c r="B11" s="25"/>
      <c r="C11" s="25"/>
      <c r="D11" s="25"/>
      <c r="E11" s="25"/>
    </row>
    <row r="13" customFormat="false" ht="15" hidden="false" customHeight="true" outlineLevel="0" collapsed="false">
      <c r="A13" s="6" t="s">
        <v>64</v>
      </c>
      <c r="B13" s="6"/>
      <c r="C13" s="6"/>
      <c r="D13" s="6"/>
      <c r="E13" s="6"/>
    </row>
    <row r="14" customFormat="false" ht="15" hidden="false" customHeight="true" outlineLevel="0" collapsed="false">
      <c r="A14" s="10" t="s">
        <v>65</v>
      </c>
      <c r="B14" s="10" t="s">
        <v>66</v>
      </c>
      <c r="C14" s="11"/>
      <c r="D14" s="11"/>
      <c r="E14" s="10" t="s">
        <v>67</v>
      </c>
    </row>
    <row r="15" customFormat="false" ht="15" hidden="false" customHeight="true" outlineLevel="0" collapsed="false">
      <c r="A15" s="12" t="s">
        <v>68</v>
      </c>
      <c r="B15" s="18" t="n">
        <v>10000</v>
      </c>
      <c r="C15" s="11"/>
      <c r="D15" s="11"/>
      <c r="E15" s="14" t="s">
        <v>69</v>
      </c>
    </row>
    <row r="16" customFormat="false" ht="15" hidden="false" customHeight="true" outlineLevel="0" collapsed="false">
      <c r="A16" s="12" t="s">
        <v>70</v>
      </c>
      <c r="B16" s="15" t="n">
        <v>0.8</v>
      </c>
      <c r="C16" s="11"/>
      <c r="D16" s="11"/>
      <c r="E16" s="14" t="s">
        <v>71</v>
      </c>
    </row>
    <row r="17" customFormat="false" ht="15" hidden="false" customHeight="true" outlineLevel="0" collapsed="false">
      <c r="A17" s="16" t="s">
        <v>72</v>
      </c>
      <c r="B17" s="26" t="n">
        <f aca="false">B15*B16*Comparison!B6/1000</f>
        <v>13.84</v>
      </c>
      <c r="C17" s="11"/>
      <c r="D17" s="11"/>
      <c r="E17" s="14" t="s">
        <v>73</v>
      </c>
    </row>
    <row r="18" customFormat="false" ht="15" hidden="false" customHeight="true" outlineLevel="0" collapsed="false">
      <c r="A18" s="16" t="s">
        <v>74</v>
      </c>
      <c r="B18" s="27" t="n">
        <f aca="false">B15*B16*Comparison!B10/1000</f>
        <v>16928</v>
      </c>
      <c r="C18" s="11"/>
      <c r="D18" s="11"/>
      <c r="E18" s="14" t="s">
        <v>75</v>
      </c>
    </row>
    <row r="19" customFormat="false" ht="15" hidden="false" customHeight="true" outlineLevel="0" collapsed="false">
      <c r="A19" s="16" t="s">
        <v>76</v>
      </c>
      <c r="B19" s="28" t="n">
        <f aca="false">B16*Comparison!B7</f>
        <v>0.696</v>
      </c>
      <c r="C19" s="11"/>
      <c r="D19" s="11"/>
      <c r="E19" s="11"/>
    </row>
    <row r="21" customFormat="false" ht="15" hidden="false" customHeight="true" outlineLevel="0" collapsed="false">
      <c r="A21" s="25" t="s">
        <v>77</v>
      </c>
      <c r="B21" s="25"/>
      <c r="C21" s="25"/>
      <c r="D21" s="25"/>
      <c r="E21" s="25"/>
    </row>
    <row r="22" customFormat="false" ht="15" hidden="false" customHeight="true" outlineLevel="0" collapsed="false">
      <c r="A22" s="25"/>
      <c r="B22" s="25"/>
      <c r="C22" s="25"/>
      <c r="D22" s="25"/>
      <c r="E22" s="25"/>
    </row>
    <row r="23" customFormat="false" ht="15" hidden="false" customHeight="true" outlineLevel="0" collapsed="false">
      <c r="A23" s="25"/>
      <c r="B23" s="25"/>
      <c r="C23" s="25"/>
      <c r="D23" s="25"/>
      <c r="E23" s="25"/>
    </row>
    <row r="26" customFormat="false" ht="15" hidden="false" customHeight="true" outlineLevel="0" collapsed="false">
      <c r="A26" s="29" t="s">
        <v>78</v>
      </c>
    </row>
    <row r="27" customFormat="false" ht="15" hidden="false" customHeight="true" outlineLevel="0" collapsed="false">
      <c r="A27" s="4" t="s">
        <v>79</v>
      </c>
      <c r="B27" s="4" t="s">
        <v>80</v>
      </c>
    </row>
    <row r="28" customFormat="false" ht="15" hidden="false" customHeight="true" outlineLevel="0" collapsed="false">
      <c r="A28" s="1" t="s">
        <v>81</v>
      </c>
      <c r="B28" s="30" t="n">
        <f aca="false">Comparison!B7*0.8</f>
        <v>0.696</v>
      </c>
    </row>
    <row r="29" customFormat="false" ht="15" hidden="false" customHeight="true" outlineLevel="0" collapsed="false">
      <c r="A29" s="1" t="s">
        <v>82</v>
      </c>
      <c r="B29" s="30" t="n">
        <f aca="false">B7</f>
        <v>0.779</v>
      </c>
    </row>
    <row r="30" customFormat="false" ht="15" hidden="false" customHeight="true" outlineLevel="0" collapsed="false">
      <c r="A30" s="1" t="s">
        <v>83</v>
      </c>
      <c r="B30" s="30" t="n">
        <f aca="false">C7</f>
        <v>0.566</v>
      </c>
    </row>
  </sheetData>
  <mergeCells count="6">
    <mergeCell ref="A1:E1"/>
    <mergeCell ref="A2:E2"/>
    <mergeCell ref="A4:E4"/>
    <mergeCell ref="A9:E11"/>
    <mergeCell ref="A13:E13"/>
    <mergeCell ref="A21:E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2026-09-18T06:18:52Z</dcterms:created>
  <dc:creator>openpyxl</dc:creator>
  <dc:description/>
  <dc:language>en-US</dc:language>
  <cp:lastModifiedBy/>
  <dcterms:modified xsi:type="dcterms:W3CDTF">2026-09-18T06:35:17Z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